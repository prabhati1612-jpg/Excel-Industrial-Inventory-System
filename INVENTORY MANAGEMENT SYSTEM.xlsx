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e46a993266efc1/Desktop/"/>
    </mc:Choice>
  </mc:AlternateContent>
  <xr:revisionPtr revIDLastSave="3" documentId="8_{17FE78F4-3245-4745-8C90-C96836454B39}" xr6:coauthVersionLast="47" xr6:coauthVersionMax="47" xr10:uidLastSave="{CA4CCE1D-E17B-457E-AB06-54EDA4F93D6D}"/>
  <bookViews>
    <workbookView xWindow="-108" yWindow="-108" windowWidth="23256" windowHeight="12456" activeTab="1" xr2:uid="{7C36465A-FF40-4F42-9815-2E6435A0D41A}"/>
  </bookViews>
  <sheets>
    <sheet name="Inventory_Summary" sheetId="6" r:id="rId1"/>
    <sheet name="transaction_table" sheetId="5" r:id="rId2"/>
    <sheet name="Product_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B2" i="6" l="1" a="1"/>
  <c r="B2" i="6" s="1"/>
  <c r="C2" i="6" a="1"/>
  <c r="C2" i="6" s="1"/>
  <c r="D2" i="6" a="1"/>
  <c r="D2" i="6" s="1"/>
  <c r="E2" i="6" l="1" a="1"/>
  <c r="E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<sst xmlns="http://schemas.openxmlformats.org/spreadsheetml/2006/main" count="62" uniqueCount="45">
  <si>
    <t>Date</t>
  </si>
  <si>
    <t>Trans_ID</t>
  </si>
  <si>
    <t>Product_ID</t>
  </si>
  <si>
    <t>Type</t>
  </si>
  <si>
    <t>Quantity</t>
  </si>
  <si>
    <t>T001</t>
  </si>
  <si>
    <t>T002</t>
  </si>
  <si>
    <t>T003</t>
  </si>
  <si>
    <t>T004</t>
  </si>
  <si>
    <t>T005</t>
  </si>
  <si>
    <t>T006</t>
  </si>
  <si>
    <t>T007</t>
  </si>
  <si>
    <t>T008</t>
  </si>
  <si>
    <t>OUT</t>
  </si>
  <si>
    <t>IN</t>
  </si>
  <si>
    <t>Total_OUT</t>
  </si>
  <si>
    <t>Current_Stock</t>
  </si>
  <si>
    <t>Item_Name</t>
  </si>
  <si>
    <t>Category</t>
  </si>
  <si>
    <t>Unit</t>
  </si>
  <si>
    <t>Unit_Price</t>
  </si>
  <si>
    <t>Reorder_Level</t>
  </si>
  <si>
    <t>Industrial Motor 5HP</t>
  </si>
  <si>
    <t>Electrical</t>
  </si>
  <si>
    <t>Pcs</t>
  </si>
  <si>
    <t>Steel Rods (12mm)</t>
  </si>
  <si>
    <t>Raw Material</t>
  </si>
  <si>
    <t>Kg</t>
  </si>
  <si>
    <t>Safety Helmets</t>
  </si>
  <si>
    <t>PPE</t>
  </si>
  <si>
    <t>Hydraulic Oil</t>
  </si>
  <si>
    <t>Consumables</t>
  </si>
  <si>
    <t>Ltr</t>
  </si>
  <si>
    <t>Welding Machine</t>
  </si>
  <si>
    <t>Machinery</t>
  </si>
  <si>
    <t>Copper Wire (Role)</t>
  </si>
  <si>
    <t>Mtr</t>
  </si>
  <si>
    <t>Grinding Wheel</t>
  </si>
  <si>
    <t>Tools</t>
  </si>
  <si>
    <t>Bearings (SKF)</t>
  </si>
  <si>
    <t>Spares</t>
  </si>
  <si>
    <t>LED High Bay Light</t>
  </si>
  <si>
    <t>Aluminum Sheets</t>
  </si>
  <si>
    <t xml:space="preserve"> Product_ID</t>
  </si>
  <si>
    <t xml:space="preserve"> Total_IN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</si>
</sst>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A0A0A"/>
      <name val="Arial"/>
      <family val="2"/>
    </font>
    <font>
      <b/>
      <sz val="12"/>
      <color theme="1"/>
      <name val="Arial"/>
      <family val="2"/>
    </font>
    <font>
      <b/>
      <sz val="14"/>
      <color rgb="FF0A0A0A"/>
      <name val="Arial"/>
      <family val="2"/>
    </font>
    <font>
      <sz val="14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1" fontId="0" fillId="0" borderId="0" xfId="0" applyNumberFormat="1"/>
    <xf numFmtId="1" fontId="7" fillId="5" borderId="0" xfId="0" applyNumberFormat="1" applyFont="1" applyFill="1" applyAlignment="1">
      <alignment vertical="top" wrapText="1" indent="1"/>
    </xf>
    <xf numFmtId="0" fontId="7" fillId="5" borderId="0" xfId="0" applyFont="1" applyFill="1" applyAlignment="1">
      <alignment vertical="top" wrapText="1" indent="1"/>
    </xf>
    <xf numFmtId="1" fontId="7" fillId="5" borderId="0" xfId="0" applyNumberFormat="1" applyFont="1" applyFill="1" applyAlignment="1">
      <alignment vertical="top" wrapText="1"/>
    </xf>
    <xf numFmtId="1" fontId="6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top" wrapText="1"/>
    </xf>
    <xf numFmtId="1" fontId="6" fillId="4" borderId="0" xfId="0" applyNumberFormat="1" applyFont="1" applyFill="1" applyAlignment="1">
      <alignment horizontal="center" vertical="top" wrapText="1"/>
    </xf>
    <xf numFmtId="44" fontId="6" fillId="4" borderId="0" xfId="0" applyNumberFormat="1" applyFont="1" applyFill="1" applyAlignment="1">
      <alignment horizontal="center" vertical="top" wrapText="1"/>
    </xf>
    <xf numFmtId="164" fontId="7" fillId="5" borderId="0" xfId="0" applyNumberFormat="1" applyFont="1" applyFill="1" applyAlignment="1">
      <alignment vertical="top" wrapText="1" indent="1"/>
    </xf>
    <xf numFmtId="0" fontId="5" fillId="0" borderId="0" xfId="0" applyFont="1" applyAlignment="1">
      <alignment horizontal="center"/>
    </xf>
    <xf numFmtId="15" fontId="2" fillId="3" borderId="0" xfId="0" applyNumberFormat="1" applyFont="1" applyFill="1" applyAlignment="1">
      <alignment vertical="top" wrapText="1" indent="1"/>
    </xf>
    <xf numFmtId="0" fontId="2" fillId="3" borderId="0" xfId="0" applyFont="1" applyFill="1" applyAlignment="1">
      <alignment vertical="top" wrapText="1" indent="1"/>
    </xf>
    <xf numFmtId="0" fontId="2" fillId="3" borderId="0" xfId="0" applyFont="1" applyFill="1" applyAlignment="1">
      <alignment vertical="top" wrapText="1"/>
    </xf>
    <xf numFmtId="0" fontId="4" fillId="6" borderId="0" xfId="0" applyFont="1" applyFill="1" applyAlignment="1">
      <alignment horizontal="center" vertical="top" wrapText="1"/>
    </xf>
    <xf numFmtId="49" fontId="4" fillId="6" borderId="0" xfId="0" applyNumberFormat="1" applyFont="1" applyFill="1" applyAlignment="1">
      <alignment horizontal="center" vertical="top" wrapText="1"/>
    </xf>
    <xf numFmtId="2" fontId="4" fillId="6" borderId="0" xfId="0" applyNumberFormat="1" applyFont="1" applyFill="1" applyAlignment="1">
      <alignment horizontal="center" vertical="top" wrapText="1"/>
    </xf>
    <xf numFmtId="1" fontId="2" fillId="3" borderId="0" xfId="0" applyNumberFormat="1" applyFont="1" applyFill="1" applyAlignment="1">
      <alignment vertical="top" wrapText="1" inden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/>
    <xf numFmtId="0" fontId="2" fillId="0" borderId="0" xfId="0" applyFont="1" applyAlignment="1">
      <alignment vertical="center"/>
    </xf>
    <xf numFmtId="0" fontId="3" fillId="2" borderId="3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1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numFmt numFmtId="20" formatCode="d\-mmm\-yy"/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A0A0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A0A0A"/>
        <name val="Arial"/>
        <family val="2"/>
        <scheme val="none"/>
      </font>
      <fill>
        <patternFill patternType="solid">
          <fgColor indexed="64"/>
          <bgColor theme="5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5" tint="-0.249977111117893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64" formatCode="_ [$₹-4009]\ * #,##0.00_ ;_ [$₹-4009]\ * \-#,##0.00_ ;_ [$₹-4009]\ * &quot;-&quot;??_ ;_ @_ "/>
      <fill>
        <patternFill patternType="solid">
          <fgColor indexed="64"/>
          <bgColor theme="5" tint="-0.249977111117893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5" tint="-0.249977111117893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top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left" vertical="top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57CEC3-C4D8-4CA4-B301-6B8169A293E3}" name="Table15" displayName="Table15" ref="A1:E9" totalsRowShown="0" headerRowDxfId="7" dataDxfId="6">
  <autoFilter ref="A1:E9" xr:uid="{B457CEC3-C4D8-4CA4-B301-6B8169A293E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ED64D4C-7520-4BA5-A5AD-DDC7A5CEC2FC}" name="Date" dataDxfId="5"/>
    <tableColumn id="2" xr3:uid="{8F233688-D1EB-4E92-8F23-73C06D0EB13B}" name="Trans_ID" dataDxfId="4"/>
    <tableColumn id="3" xr3:uid="{8AEE5809-9A1E-49C8-B9BD-E9A668CFCEF3}" name="Product_ID" dataDxfId="3"/>
    <tableColumn id="4" xr3:uid="{EEF8F5E7-FD88-4417-9E11-9E0C36DB0829}" name="Type" dataDxfId="2"/>
    <tableColumn id="5" xr3:uid="{FA117138-694C-40B6-9A41-11F5FA667619}" name="Quantity" dataDxfId="1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B4AC954-F6D2-4041-9F06-13702E7FBAF5}" name="tbl_Master" displayName="tbl_Master" ref="A1:F11" totalsRowShown="0" headerRowDxfId="15" dataDxfId="14">
  <autoFilter ref="A1:F11" xr:uid="{8B4AC954-F6D2-4041-9F06-13702E7FBAF5}"/>
  <sortState xmlns:xlrd2="http://schemas.microsoft.com/office/spreadsheetml/2017/richdata2" ref="A2:F11">
    <sortCondition ref="F1:F11"/>
  </sortState>
  <tableColumns count="6">
    <tableColumn id="1" xr3:uid="{A42022AA-291E-454D-A255-CF745C86F894}" name="Product_ID" dataDxfId="13"/>
    <tableColumn id="2" xr3:uid="{D0475E43-79B2-44AC-AD6C-2F5FD659D091}" name="Item_Name" dataDxfId="12"/>
    <tableColumn id="3" xr3:uid="{BF1D010F-1104-46A6-97D5-87FEE28703CD}" name="Category" dataDxfId="11"/>
    <tableColumn id="4" xr3:uid="{42A838EE-D1AA-411C-997F-F3C942039262}" name="Unit" dataDxfId="10"/>
    <tableColumn id="5" xr3:uid="{A9487CFE-04C7-4E13-82AF-E518C02EDED3}" name="Unit_Price" dataDxfId="9"/>
    <tableColumn id="6" xr3:uid="{D21CD0DC-1B58-46AE-8F47-E6F4CD18B730}" name="Reorder_Level" dataDxfId="8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688F-15C0-4726-A31B-C460C59DCAF3}">
  <dimension ref="A1:E9"/>
  <sheetViews>
    <sheetView showGridLines="0" workbookViewId="0">
      <selection activeCell="H9" sqref="H9"/>
    </sheetView>
  </sheetViews>
  <sheetFormatPr defaultRowHeight="14.4" x14ac:dyDescent="0.3"/>
  <cols>
    <col min="1" max="1" width="17.5546875" customWidth="1"/>
    <col min="2" max="2" width="22.88671875" bestFit="1" customWidth="1"/>
    <col min="3" max="3" width="14.88671875" customWidth="1"/>
    <col min="4" max="4" width="16.44140625" customWidth="1"/>
    <col min="5" max="5" width="26" customWidth="1"/>
  </cols>
  <sheetData>
    <row r="1" spans="1:5" ht="17.399999999999999" x14ac:dyDescent="0.3">
      <c r="A1" s="19" t="s">
        <v>43</v>
      </c>
      <c r="B1" s="21" t="s">
        <v>17</v>
      </c>
      <c r="C1" s="20" t="s">
        <v>44</v>
      </c>
      <c r="D1" s="21" t="s">
        <v>15</v>
      </c>
      <c r="E1" s="22" t="s">
        <v>16</v>
      </c>
    </row>
    <row r="2" spans="1:5" ht="15.6" x14ac:dyDescent="0.3">
      <c r="A2" s="23" cm="1">
        <f t="array" ref="A2:A6">_xlfn.UNIQUE(Table15[Product_ID])</f>
        <v>10</v>
      </c>
      <c r="B2" s="24" t="str" cm="1">
        <f t="array" ref="B2:B6">_xlfn.XLOOKUP(_xlfn.ANCHORARRAY(A2), tbl_Master[Product_ID], tbl_Master[Item_Name], "Not Found")</f>
        <v>Welding Machine</v>
      </c>
      <c r="C2" s="26" cm="1">
        <f t="array" ref="C2:C6">SUMIFS(Table15[Quantity], Table15[Product_ID],_xlfn.ANCHORARRAY( A2), Table15[Type], "IN")</f>
        <v>50</v>
      </c>
      <c r="D2" s="26" cm="1">
        <f t="array" ref="D2:D6">SUMIFS(Table15[Quantity], Table15[Product_ID],_xlfn.ANCHORARRAY( A2), Table15[Type], "OUT")</f>
        <v>20</v>
      </c>
      <c r="E2" s="25" cm="1">
        <f t="array" ref="E2:E6">_xlfn.ANCHORARRAY(C2) -_xlfn.ANCHORARRAY( D2)</f>
        <v>30</v>
      </c>
    </row>
    <row r="3" spans="1:5" ht="16.2" customHeight="1" x14ac:dyDescent="0.3">
      <c r="A3" s="1">
        <v>2</v>
      </c>
      <c r="B3" s="1" t="str">
        <v>Industrial Motor 5HP</v>
      </c>
      <c r="C3" s="1">
        <v>50</v>
      </c>
      <c r="D3" s="1">
        <v>5</v>
      </c>
      <c r="E3" s="1">
        <v>45</v>
      </c>
    </row>
    <row r="4" spans="1:5" ht="15.6" x14ac:dyDescent="0.3">
      <c r="A4" s="1">
        <v>15</v>
      </c>
      <c r="B4" s="1" t="str">
        <v>LED High Bay Light</v>
      </c>
      <c r="C4" s="1">
        <v>100</v>
      </c>
      <c r="D4" s="1">
        <v>20</v>
      </c>
      <c r="E4" s="1">
        <v>80</v>
      </c>
    </row>
    <row r="5" spans="1:5" ht="15.6" x14ac:dyDescent="0.3">
      <c r="A5" s="1">
        <v>8</v>
      </c>
      <c r="B5" s="1" t="str">
        <v>Hydraulic Oil</v>
      </c>
      <c r="C5" s="1">
        <v>20</v>
      </c>
      <c r="D5" s="1">
        <v>0</v>
      </c>
      <c r="E5" s="1">
        <v>20</v>
      </c>
    </row>
    <row r="6" spans="1:5" ht="15.6" x14ac:dyDescent="0.3">
      <c r="A6" s="1">
        <v>3</v>
      </c>
      <c r="B6" s="1" t="str">
        <v>Steel Rods (12mm)</v>
      </c>
      <c r="C6" s="1">
        <v>500</v>
      </c>
      <c r="D6" s="1">
        <v>0</v>
      </c>
      <c r="E6" s="1">
        <v>500</v>
      </c>
    </row>
    <row r="7" spans="1:5" ht="15.6" x14ac:dyDescent="0.3">
      <c r="A7" s="1"/>
      <c r="B7" s="1"/>
      <c r="C7" s="1"/>
      <c r="D7" s="1"/>
      <c r="E7" s="1"/>
    </row>
    <row r="8" spans="1:5" ht="15.6" x14ac:dyDescent="0.3">
      <c r="A8" s="1"/>
      <c r="B8" s="1"/>
      <c r="C8" s="1"/>
      <c r="D8" s="1"/>
      <c r="E8" s="1"/>
    </row>
    <row r="9" spans="1:5" ht="15.6" x14ac:dyDescent="0.3">
      <c r="A9" s="1"/>
      <c r="B9" s="1"/>
      <c r="C9" s="1"/>
      <c r="D9" s="1"/>
      <c r="E9" s="1"/>
    </row>
  </sheetData>
  <conditionalFormatting sqref="A1:E56">
    <cfRule type="expression" dxfId="0" priority="1">
      <formula>$A2&lt;&gt;""</formula>
    </cfRule>
    <cfRule type="expression" priority="2">
      <formula>$A2&lt;&gt;""</formula>
    </cfRule>
  </conditionalFormatting>
  <conditionalFormatting sqref="E1:E1048576">
    <cfRule type="iconSet" priority="3">
      <iconSet>
        <cfvo type="percent" val="0"/>
        <cfvo type="num" val="50" gte="0"/>
        <cfvo type="num" val="80"/>
      </iconSet>
    </cfRule>
    <cfRule type="iconSet" priority="4">
      <iconSet iconSet="3TrafficLights2">
        <cfvo type="percent" val="0"/>
        <cfvo type="num" val="20"/>
        <cfvo type="num" val="5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8223-D09A-4E7A-8639-4C9A13069552}">
  <dimension ref="A1:F10"/>
  <sheetViews>
    <sheetView showGridLines="0" tabSelected="1" workbookViewId="0">
      <selection activeCell="E5" sqref="E5"/>
    </sheetView>
  </sheetViews>
  <sheetFormatPr defaultRowHeight="14.4" x14ac:dyDescent="0.3"/>
  <cols>
    <col min="1" max="1" width="14.21875" customWidth="1"/>
    <col min="2" max="2" width="20.6640625" customWidth="1"/>
    <col min="3" max="3" width="23.6640625" customWidth="1"/>
    <col min="4" max="4" width="17.33203125" customWidth="1"/>
    <col min="5" max="5" width="18.6640625" customWidth="1"/>
  </cols>
  <sheetData>
    <row r="1" spans="1:6" ht="17.399999999999999" x14ac:dyDescent="0.3">
      <c r="A1" s="15" t="s">
        <v>0</v>
      </c>
      <c r="B1" s="15" t="s">
        <v>1</v>
      </c>
      <c r="C1" s="17" t="s">
        <v>2</v>
      </c>
      <c r="D1" s="16" t="s">
        <v>3</v>
      </c>
      <c r="E1" s="15" t="s">
        <v>4</v>
      </c>
      <c r="F1" s="11"/>
    </row>
    <row r="2" spans="1:6" ht="15.6" x14ac:dyDescent="0.3">
      <c r="A2" s="12">
        <v>46113</v>
      </c>
      <c r="B2" s="13" t="s">
        <v>5</v>
      </c>
      <c r="C2" s="18">
        <v>10</v>
      </c>
      <c r="D2" s="13" t="s">
        <v>14</v>
      </c>
      <c r="E2" s="14">
        <v>50</v>
      </c>
    </row>
    <row r="3" spans="1:6" ht="15.6" x14ac:dyDescent="0.3">
      <c r="A3" s="12">
        <v>46114</v>
      </c>
      <c r="B3" s="13" t="s">
        <v>6</v>
      </c>
      <c r="C3" s="18">
        <v>2</v>
      </c>
      <c r="D3" s="13" t="s">
        <v>14</v>
      </c>
      <c r="E3" s="14">
        <v>50</v>
      </c>
    </row>
    <row r="4" spans="1:6" ht="15.6" x14ac:dyDescent="0.3">
      <c r="A4" s="12">
        <v>46115</v>
      </c>
      <c r="B4" s="13" t="s">
        <v>7</v>
      </c>
      <c r="C4" s="18">
        <v>10</v>
      </c>
      <c r="D4" s="13" t="s">
        <v>13</v>
      </c>
      <c r="E4" s="14">
        <v>20</v>
      </c>
    </row>
    <row r="5" spans="1:6" ht="15.6" x14ac:dyDescent="0.3">
      <c r="A5" s="12">
        <v>46116</v>
      </c>
      <c r="B5" s="13" t="s">
        <v>8</v>
      </c>
      <c r="C5" s="18">
        <v>15</v>
      </c>
      <c r="D5" s="13" t="s">
        <v>14</v>
      </c>
      <c r="E5" s="14">
        <v>100</v>
      </c>
    </row>
    <row r="6" spans="1:6" ht="15.6" x14ac:dyDescent="0.3">
      <c r="A6" s="12">
        <v>46117</v>
      </c>
      <c r="B6" s="13" t="s">
        <v>9</v>
      </c>
      <c r="C6" s="18">
        <v>2</v>
      </c>
      <c r="D6" s="13" t="s">
        <v>13</v>
      </c>
      <c r="E6" s="14">
        <v>5</v>
      </c>
    </row>
    <row r="7" spans="1:6" ht="15.6" x14ac:dyDescent="0.3">
      <c r="A7" s="12">
        <v>46118</v>
      </c>
      <c r="B7" s="13" t="s">
        <v>10</v>
      </c>
      <c r="C7" s="18">
        <v>8</v>
      </c>
      <c r="D7" s="13" t="s">
        <v>14</v>
      </c>
      <c r="E7" s="14">
        <v>20</v>
      </c>
    </row>
    <row r="8" spans="1:6" ht="15.6" x14ac:dyDescent="0.3">
      <c r="A8" s="12">
        <v>46119</v>
      </c>
      <c r="B8" s="13" t="s">
        <v>11</v>
      </c>
      <c r="C8" s="18">
        <v>15</v>
      </c>
      <c r="D8" s="13" t="s">
        <v>13</v>
      </c>
      <c r="E8" s="14">
        <v>20</v>
      </c>
    </row>
    <row r="9" spans="1:6" ht="15.6" x14ac:dyDescent="0.3">
      <c r="A9" s="12">
        <v>46120</v>
      </c>
      <c r="B9" s="13" t="s">
        <v>12</v>
      </c>
      <c r="C9" s="18">
        <v>3</v>
      </c>
      <c r="D9" s="13" t="s">
        <v>14</v>
      </c>
      <c r="E9" s="14">
        <v>500</v>
      </c>
    </row>
    <row r="10" spans="1:6" x14ac:dyDescent="0.3">
      <c r="C10" s="2"/>
    </row>
  </sheetData>
  <dataValidations count="1">
    <dataValidation type="list" allowBlank="1" showInputMessage="1" showErrorMessage="1" sqref="D2:D9" xr:uid="{3F00FBAC-BA3F-43A4-89FF-340DC478CEEE}">
      <formula1>"IN,OUT"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62E80F-A190-4783-B591-6A011FF907B5}">
          <x14:formula1>
            <xm:f>Product_Master!$A$2:$A$11</xm:f>
          </x14:formula1>
          <xm:sqref>C2:C9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0AC9-00B4-4229-92DA-592FFE2EF7C4}">
  <dimension ref="A1:F11"/>
  <sheetViews>
    <sheetView showGridLines="0" zoomScale="130" zoomScaleNormal="130" workbookViewId="0">
      <selection activeCell="B1" sqref="B1"/>
    </sheetView>
  </sheetViews>
  <sheetFormatPr defaultRowHeight="14.4" x14ac:dyDescent="0.3"/>
  <cols>
    <col min="1" max="1" width="19.44140625" style="2" customWidth="1"/>
    <col min="2" max="2" width="21.33203125" customWidth="1"/>
    <col min="3" max="3" width="20" customWidth="1"/>
    <col min="4" max="4" width="17.33203125" customWidth="1"/>
    <col min="5" max="5" width="16.88671875" style="2" customWidth="1"/>
    <col min="6" max="6" width="19.5546875" style="2" customWidth="1"/>
  </cols>
  <sheetData>
    <row r="1" spans="1:6" x14ac:dyDescent="0.3">
      <c r="A1" s="6" t="s">
        <v>2</v>
      </c>
      <c r="B1" s="7" t="s">
        <v>17</v>
      </c>
      <c r="C1" s="7" t="s">
        <v>18</v>
      </c>
      <c r="D1" s="7" t="s">
        <v>19</v>
      </c>
      <c r="E1" s="9" t="s">
        <v>20</v>
      </c>
      <c r="F1" s="8" t="s">
        <v>21</v>
      </c>
    </row>
    <row r="2" spans="1:6" x14ac:dyDescent="0.3">
      <c r="A2" s="3">
        <v>10</v>
      </c>
      <c r="B2" s="4" t="s">
        <v>33</v>
      </c>
      <c r="C2" s="4" t="s">
        <v>34</v>
      </c>
      <c r="D2" s="4" t="s">
        <v>24</v>
      </c>
      <c r="E2" s="10">
        <v>15000</v>
      </c>
      <c r="F2" s="5">
        <v>2</v>
      </c>
    </row>
    <row r="3" spans="1:6" x14ac:dyDescent="0.3">
      <c r="A3" s="3">
        <v>2</v>
      </c>
      <c r="B3" s="4" t="s">
        <v>22</v>
      </c>
      <c r="C3" s="4" t="s">
        <v>23</v>
      </c>
      <c r="D3" s="4" t="s">
        <v>24</v>
      </c>
      <c r="E3" s="10">
        <v>12000</v>
      </c>
      <c r="F3" s="5">
        <v>5</v>
      </c>
    </row>
    <row r="4" spans="1:6" x14ac:dyDescent="0.3">
      <c r="A4" s="3">
        <v>15</v>
      </c>
      <c r="B4" s="4" t="s">
        <v>41</v>
      </c>
      <c r="C4" s="4" t="s">
        <v>23</v>
      </c>
      <c r="D4" s="4" t="s">
        <v>24</v>
      </c>
      <c r="E4" s="10">
        <v>2200</v>
      </c>
      <c r="F4" s="5">
        <v>8</v>
      </c>
    </row>
    <row r="5" spans="1:6" x14ac:dyDescent="0.3">
      <c r="A5" s="3">
        <v>8</v>
      </c>
      <c r="B5" s="4" t="s">
        <v>30</v>
      </c>
      <c r="C5" s="4" t="s">
        <v>31</v>
      </c>
      <c r="D5" s="4" t="s">
        <v>32</v>
      </c>
      <c r="E5" s="10">
        <v>3200</v>
      </c>
      <c r="F5" s="5">
        <v>10</v>
      </c>
    </row>
    <row r="6" spans="1:6" x14ac:dyDescent="0.3">
      <c r="A6" s="3">
        <v>14</v>
      </c>
      <c r="B6" s="4" t="s">
        <v>39</v>
      </c>
      <c r="C6" s="4" t="s">
        <v>40</v>
      </c>
      <c r="D6" s="4" t="s">
        <v>24</v>
      </c>
      <c r="E6" s="10">
        <v>850</v>
      </c>
      <c r="F6" s="5">
        <v>10</v>
      </c>
    </row>
    <row r="7" spans="1:6" x14ac:dyDescent="0.3">
      <c r="A7" s="3">
        <v>17</v>
      </c>
      <c r="B7" s="4" t="s">
        <v>42</v>
      </c>
      <c r="C7" s="4" t="s">
        <v>26</v>
      </c>
      <c r="D7" s="4" t="s">
        <v>24</v>
      </c>
      <c r="E7" s="10">
        <v>3500</v>
      </c>
      <c r="F7" s="5">
        <v>12</v>
      </c>
    </row>
    <row r="8" spans="1:6" x14ac:dyDescent="0.3">
      <c r="A8" s="3">
        <v>11</v>
      </c>
      <c r="B8" s="4" t="s">
        <v>35</v>
      </c>
      <c r="C8" s="4" t="s">
        <v>23</v>
      </c>
      <c r="D8" s="4" t="s">
        <v>36</v>
      </c>
      <c r="E8" s="10">
        <v>1800</v>
      </c>
      <c r="F8" s="5">
        <v>15</v>
      </c>
    </row>
    <row r="9" spans="1:6" x14ac:dyDescent="0.3">
      <c r="A9" s="3">
        <v>6</v>
      </c>
      <c r="B9" s="4" t="s">
        <v>28</v>
      </c>
      <c r="C9" s="4" t="s">
        <v>29</v>
      </c>
      <c r="D9" s="4" t="s">
        <v>24</v>
      </c>
      <c r="E9" s="10">
        <v>250</v>
      </c>
      <c r="F9" s="5">
        <v>20</v>
      </c>
    </row>
    <row r="10" spans="1:6" x14ac:dyDescent="0.3">
      <c r="A10" s="3">
        <v>12</v>
      </c>
      <c r="B10" s="4" t="s">
        <v>37</v>
      </c>
      <c r="C10" s="4" t="s">
        <v>38</v>
      </c>
      <c r="D10" s="4" t="s">
        <v>24</v>
      </c>
      <c r="E10" s="10">
        <v>120</v>
      </c>
      <c r="F10" s="5">
        <v>50</v>
      </c>
    </row>
    <row r="11" spans="1:6" x14ac:dyDescent="0.3">
      <c r="A11" s="3">
        <v>3</v>
      </c>
      <c r="B11" s="4" t="s">
        <v>25</v>
      </c>
      <c r="C11" s="4" t="s">
        <v>26</v>
      </c>
      <c r="D11" s="4" t="s">
        <v>27</v>
      </c>
      <c r="E11" s="10">
        <v>450</v>
      </c>
      <c r="F11" s="5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Inventory_Summary</vt:lpstr>
      <vt:lpstr>transaction_table</vt:lpstr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Prabhati Chhabra</dc:creator>
  <cp:lastModifiedBy>Prabhati Chhabra</cp:lastModifiedBy>
  <dcterms:created xsi:type="dcterms:W3CDTF">2026-04-01T16:30:24Z</dcterms:created>
  <dcterms:modified xsi:type="dcterms:W3CDTF">2026-04-01T19:51:17Z</dcterms:modified>
</cp:coreProperties>
</file>